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T\Desktop\BoarData\"/>
    </mc:Choice>
  </mc:AlternateContent>
  <xr:revisionPtr revIDLastSave="0" documentId="13_ncr:1_{4CA0E21F-C464-4E97-883D-C9E49A1F7C82}" xr6:coauthVersionLast="36" xr6:coauthVersionMax="36" xr10:uidLastSave="{00000000-0000-0000-0000-000000000000}"/>
  <bookViews>
    <workbookView xWindow="0" yWindow="0" windowWidth="19160" windowHeight="5920" xr2:uid="{1822D9CF-8E8A-4B6F-A536-35630FF06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  <c r="S17" i="1" l="1"/>
  <c r="S18" i="1"/>
  <c r="S19" i="1"/>
  <c r="S20" i="1"/>
  <c r="S21" i="1"/>
  <c r="S22" i="1"/>
  <c r="S24" i="1"/>
  <c r="S9" i="1"/>
  <c r="S11" i="1"/>
  <c r="S12" i="1"/>
  <c r="S13" i="1"/>
  <c r="S14" i="1"/>
  <c r="S15" i="1"/>
  <c r="S3" i="1"/>
  <c r="S5" i="1"/>
  <c r="S6" i="1"/>
  <c r="N22" i="1"/>
  <c r="N24" i="1"/>
  <c r="Y24" i="1" l="1"/>
  <c r="Y22" i="1"/>
  <c r="Z22" i="1"/>
  <c r="AA22" i="1" s="1"/>
  <c r="Y21" i="1"/>
  <c r="X21" i="1"/>
  <c r="N21" i="1"/>
  <c r="Y20" i="1"/>
  <c r="X20" i="1"/>
  <c r="N20" i="1"/>
  <c r="Y19" i="1"/>
  <c r="X19" i="1"/>
  <c r="N19" i="1"/>
  <c r="Y18" i="1"/>
  <c r="X18" i="1"/>
  <c r="N18" i="1"/>
  <c r="Y17" i="1"/>
  <c r="X17" i="1"/>
  <c r="N17" i="1"/>
  <c r="Y15" i="1"/>
  <c r="X15" i="1"/>
  <c r="N15" i="1"/>
  <c r="Y14" i="1"/>
  <c r="X14" i="1"/>
  <c r="N14" i="1"/>
  <c r="Y13" i="1"/>
  <c r="X13" i="1"/>
  <c r="N13" i="1"/>
  <c r="Y12" i="1"/>
  <c r="X12" i="1"/>
  <c r="N12" i="1"/>
  <c r="Y11" i="1"/>
  <c r="X11" i="1"/>
  <c r="N11" i="1"/>
  <c r="Y9" i="1"/>
  <c r="X9" i="1"/>
  <c r="N9" i="1"/>
  <c r="Y6" i="1"/>
  <c r="X6" i="1"/>
  <c r="N6" i="1"/>
  <c r="Y5" i="1"/>
  <c r="X5" i="1"/>
  <c r="N5" i="1"/>
  <c r="Y4" i="1"/>
  <c r="N4" i="1"/>
  <c r="Y3" i="1"/>
  <c r="X3" i="1"/>
  <c r="N3" i="1"/>
  <c r="Y2" i="1"/>
  <c r="X2" i="1"/>
  <c r="N2" i="1"/>
  <c r="Z3" i="1" l="1"/>
  <c r="AA3" i="1" s="1"/>
  <c r="Z18" i="1"/>
  <c r="AA18" i="1" s="1"/>
  <c r="Z14" i="1"/>
  <c r="AA14" i="1" s="1"/>
  <c r="Z16" i="1"/>
  <c r="AA16" i="1" s="1"/>
  <c r="Z24" i="1"/>
  <c r="AA24" i="1" s="1"/>
  <c r="Z21" i="1"/>
  <c r="AA21" i="1" s="1"/>
  <c r="Z10" i="1"/>
  <c r="AA10" i="1" s="1"/>
  <c r="Z8" i="1"/>
  <c r="AA8" i="1" s="1"/>
  <c r="Z25" i="1"/>
  <c r="AA25" i="1" s="1"/>
  <c r="Z12" i="1"/>
  <c r="AA12" i="1" s="1"/>
  <c r="Z4" i="1"/>
  <c r="AA4" i="1" s="1"/>
  <c r="Z17" i="1"/>
  <c r="AA17" i="1" s="1"/>
  <c r="Z19" i="1"/>
  <c r="AA19" i="1" s="1"/>
  <c r="Z11" i="1"/>
  <c r="AA11" i="1" s="1"/>
  <c r="Z13" i="1"/>
  <c r="AA13" i="1" s="1"/>
  <c r="Z15" i="1"/>
  <c r="AA15" i="1" s="1"/>
  <c r="Z23" i="1"/>
  <c r="AA23" i="1" s="1"/>
  <c r="Z20" i="1"/>
  <c r="AA20" i="1" s="1"/>
  <c r="Z6" i="1"/>
  <c r="AA6" i="1" s="1"/>
  <c r="Z9" i="1"/>
  <c r="AA9" i="1" s="1"/>
  <c r="Z5" i="1"/>
  <c r="AA5" i="1" s="1"/>
  <c r="Z7" i="1"/>
  <c r="AA7" i="1" s="1"/>
  <c r="Z2" i="1"/>
  <c r="AA2" i="1" s="1"/>
</calcChain>
</file>

<file path=xl/sharedStrings.xml><?xml version="1.0" encoding="utf-8"?>
<sst xmlns="http://schemas.openxmlformats.org/spreadsheetml/2006/main" count="189" uniqueCount="51">
  <si>
    <t>Boar No</t>
  </si>
  <si>
    <t>Breed</t>
  </si>
  <si>
    <t>D.O.B</t>
  </si>
  <si>
    <t>Age</t>
  </si>
  <si>
    <t>COLLECTION-1</t>
  </si>
  <si>
    <t>Motility</t>
  </si>
  <si>
    <t>Amount</t>
  </si>
  <si>
    <t>Concentration</t>
  </si>
  <si>
    <t xml:space="preserve">Tubes </t>
  </si>
  <si>
    <t>COLLECTION-2</t>
  </si>
  <si>
    <t>COLLECTION-3</t>
  </si>
  <si>
    <t>COLLECTION-4</t>
  </si>
  <si>
    <t>AVR CONC</t>
  </si>
  <si>
    <t>AV TUBES</t>
  </si>
  <si>
    <t>DOSES</t>
  </si>
  <si>
    <t>ZFTA33544</t>
  </si>
  <si>
    <t>10/02/2025</t>
  </si>
  <si>
    <t>ZFTA33617</t>
  </si>
  <si>
    <t>19/02/2025</t>
  </si>
  <si>
    <t>ZFTA33438</t>
  </si>
  <si>
    <t>ZFTA33541</t>
  </si>
  <si>
    <t>ZFTA33486</t>
  </si>
  <si>
    <t>11/02/2025</t>
  </si>
  <si>
    <t>ZFTA33436</t>
  </si>
  <si>
    <t>ZFTA33475</t>
  </si>
  <si>
    <t>09/02/2025</t>
  </si>
  <si>
    <t>ZFTA33424</t>
  </si>
  <si>
    <t>ZFTA33206</t>
  </si>
  <si>
    <t>27/01/2025</t>
  </si>
  <si>
    <t>ZFTA33325</t>
  </si>
  <si>
    <t>03/02/2025</t>
  </si>
  <si>
    <t>ZFTA33508</t>
  </si>
  <si>
    <t>ZFTA33621</t>
  </si>
  <si>
    <t>ZFTA33638</t>
  </si>
  <si>
    <t>ZFTA33677</t>
  </si>
  <si>
    <t>22/02/2025</t>
  </si>
  <si>
    <t>ZFTA33143</t>
  </si>
  <si>
    <t>23/01/2025</t>
  </si>
  <si>
    <t xml:space="preserve">  ZFTA33556 </t>
  </si>
  <si>
    <t>2FTA32447</t>
  </si>
  <si>
    <t>2FTA32444</t>
  </si>
  <si>
    <t>2FTA32186</t>
  </si>
  <si>
    <t>20/01/2025</t>
  </si>
  <si>
    <t>3FTA55100</t>
  </si>
  <si>
    <t>05/02/2025</t>
  </si>
  <si>
    <t>3FTA55032</t>
  </si>
  <si>
    <t>3FTA54924</t>
  </si>
  <si>
    <t>29/01/2025</t>
  </si>
  <si>
    <t>3FTA54856</t>
  </si>
  <si>
    <t>3FTA54850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</si>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</sst>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67D3-C403-4468-BD45-D6D242C26FC2}">
  <dimension ref="A1:AA25"/>
  <sheetViews>
    <sheetView tabSelected="1" topLeftCell="N1" workbookViewId="0">
      <selection activeCell="S3" sqref="S3"/>
    </sheetView>
  </sheetViews>
  <sheetFormatPr defaultRowHeight="14.5" x14ac:dyDescent="0.35"/>
  <cols>
    <col min="1" max="1" width="15.453125" customWidth="1"/>
    <col min="3" max="3" width="11.1796875" customWidth="1"/>
    <col min="5" max="5" width="11.90625" customWidth="1"/>
    <col min="10" max="10" width="15.1796875" customWidth="1"/>
    <col min="15" max="15" width="14.90625" customWidth="1"/>
    <col min="20" max="20" width="20.54296875" customWidth="1"/>
    <col min="25" max="25" width="10.4531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10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11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12</v>
      </c>
      <c r="Z1" s="1" t="s">
        <v>13</v>
      </c>
      <c r="AA1" s="1" t="s">
        <v>14</v>
      </c>
    </row>
    <row r="2" spans="1:27" x14ac:dyDescent="0.35">
      <c r="A2" s="2" t="s">
        <v>15</v>
      </c>
      <c r="B2" s="2">
        <v>800</v>
      </c>
      <c r="C2" s="2" t="s">
        <v>16</v>
      </c>
      <c r="D2" s="3">
        <v>235</v>
      </c>
      <c r="E2" s="4">
        <v>45901</v>
      </c>
      <c r="F2" s="2">
        <v>90</v>
      </c>
      <c r="G2" s="2">
        <v>115</v>
      </c>
      <c r="H2" s="2">
        <v>579</v>
      </c>
      <c r="I2" s="2">
        <v>18</v>
      </c>
      <c r="J2" s="4">
        <v>45910</v>
      </c>
      <c r="K2" s="2">
        <v>90</v>
      </c>
      <c r="L2" s="2">
        <v>114</v>
      </c>
      <c r="M2" s="2">
        <v>695</v>
      </c>
      <c r="N2" s="3">
        <f>L2*M2*0.9*0.95/3000</f>
        <v>22.580549999999999</v>
      </c>
      <c r="O2" s="4">
        <v>45918</v>
      </c>
      <c r="P2" s="2">
        <v>90</v>
      </c>
      <c r="Q2" s="2">
        <v>92</v>
      </c>
      <c r="R2" s="2">
        <v>630</v>
      </c>
      <c r="S2" s="3">
        <f>Q2*R2*0.9*0.95/3000</f>
        <v>16.518599999999999</v>
      </c>
      <c r="T2" s="4">
        <v>45928</v>
      </c>
      <c r="U2" s="3">
        <v>90</v>
      </c>
      <c r="V2" s="3">
        <v>130</v>
      </c>
      <c r="W2" s="3">
        <v>676</v>
      </c>
      <c r="X2" s="3">
        <f>V2*W2*0.9*0.95/3000</f>
        <v>25.045799999999996</v>
      </c>
      <c r="Y2" s="3">
        <f t="shared" ref="Y2:Z6" si="0">AVERAGE(H2,M2,R2,W2)</f>
        <v>645</v>
      </c>
      <c r="Z2" s="3">
        <f t="shared" si="0"/>
        <v>20.536237499999999</v>
      </c>
      <c r="AA2" s="3">
        <f>SUM(Z2/2)</f>
        <v>10.268118749999999</v>
      </c>
    </row>
    <row r="3" spans="1:27" x14ac:dyDescent="0.35">
      <c r="A3" s="5" t="s">
        <v>17</v>
      </c>
      <c r="B3" s="5">
        <v>800</v>
      </c>
      <c r="C3" s="5" t="s">
        <v>18</v>
      </c>
      <c r="D3" s="6">
        <v>266</v>
      </c>
      <c r="E3" s="7">
        <v>45909</v>
      </c>
      <c r="F3" s="5">
        <v>90</v>
      </c>
      <c r="G3" s="5">
        <v>87</v>
      </c>
      <c r="H3" s="5">
        <v>503</v>
      </c>
      <c r="I3" s="5">
        <v>12</v>
      </c>
      <c r="J3" s="7">
        <v>45916</v>
      </c>
      <c r="K3" s="5">
        <v>90</v>
      </c>
      <c r="L3" s="5">
        <v>80</v>
      </c>
      <c r="M3" s="5">
        <v>490</v>
      </c>
      <c r="N3" s="6">
        <f t="shared" ref="N3:N24" si="1">L3*M3*0.9*0.95/3000</f>
        <v>11.172000000000001</v>
      </c>
      <c r="O3" s="7">
        <v>45923</v>
      </c>
      <c r="P3" s="5">
        <v>90</v>
      </c>
      <c r="Q3" s="5">
        <v>127</v>
      </c>
      <c r="R3" s="5">
        <v>400</v>
      </c>
      <c r="S3" s="3">
        <f t="shared" ref="S3:S24" si="2">Q3*R3*0.9*0.95/3000</f>
        <v>14.478</v>
      </c>
      <c r="T3" s="7">
        <v>45929</v>
      </c>
      <c r="U3" s="6">
        <v>90</v>
      </c>
      <c r="V3" s="5">
        <v>127</v>
      </c>
      <c r="W3" s="5">
        <v>400</v>
      </c>
      <c r="X3" s="6">
        <f t="shared" ref="X3:X21" si="3">V3*W3*0.9*0.95/3000</f>
        <v>14.478</v>
      </c>
      <c r="Y3" s="6">
        <f t="shared" si="0"/>
        <v>448.25</v>
      </c>
      <c r="Z3" s="6">
        <f t="shared" si="0"/>
        <v>13.032</v>
      </c>
      <c r="AA3" s="6">
        <f t="shared" ref="AA3:AA25" si="4">SUM(Z3/2)</f>
        <v>6.516</v>
      </c>
    </row>
    <row r="4" spans="1:27" x14ac:dyDescent="0.35">
      <c r="A4" s="5" t="s">
        <v>19</v>
      </c>
      <c r="B4" s="5">
        <v>800</v>
      </c>
      <c r="C4" s="5" t="s">
        <v>16</v>
      </c>
      <c r="D4" s="6">
        <v>235</v>
      </c>
      <c r="E4" s="7">
        <v>45915</v>
      </c>
      <c r="F4" s="5">
        <v>90</v>
      </c>
      <c r="G4" s="5">
        <v>86</v>
      </c>
      <c r="H4" s="5">
        <v>623</v>
      </c>
      <c r="I4" s="5">
        <v>15</v>
      </c>
      <c r="J4" s="7">
        <v>45922</v>
      </c>
      <c r="K4" s="5">
        <v>90</v>
      </c>
      <c r="L4" s="5">
        <v>61</v>
      </c>
      <c r="M4" s="5">
        <v>836</v>
      </c>
      <c r="N4" s="6">
        <f t="shared" si="1"/>
        <v>14.533860000000001</v>
      </c>
      <c r="O4" s="7">
        <v>45929</v>
      </c>
      <c r="P4" s="5" t="s">
        <v>50</v>
      </c>
      <c r="Q4" s="5" t="s">
        <v>50</v>
      </c>
      <c r="R4" s="5" t="s">
        <v>50</v>
      </c>
      <c r="S4" s="3">
        <v>0</v>
      </c>
      <c r="T4" s="7">
        <v>45936</v>
      </c>
      <c r="U4" s="6" t="s">
        <v>50</v>
      </c>
      <c r="V4" s="5" t="s">
        <v>50</v>
      </c>
      <c r="W4" s="5" t="s">
        <v>50</v>
      </c>
      <c r="X4" s="6" t="s">
        <v>50</v>
      </c>
      <c r="Y4" s="6">
        <f t="shared" si="0"/>
        <v>729.5</v>
      </c>
      <c r="Z4" s="6">
        <f t="shared" si="0"/>
        <v>9.8446200000000008</v>
      </c>
      <c r="AA4" s="6">
        <f t="shared" si="4"/>
        <v>4.9223100000000004</v>
      </c>
    </row>
    <row r="5" spans="1:27" x14ac:dyDescent="0.35">
      <c r="A5" s="2" t="s">
        <v>20</v>
      </c>
      <c r="B5" s="2">
        <v>800</v>
      </c>
      <c r="C5" s="2" t="s">
        <v>16</v>
      </c>
      <c r="D5" s="3">
        <v>235</v>
      </c>
      <c r="E5" s="4">
        <v>45907</v>
      </c>
      <c r="F5" s="2">
        <v>90</v>
      </c>
      <c r="G5" s="2">
        <v>110</v>
      </c>
      <c r="H5" s="2">
        <v>249</v>
      </c>
      <c r="I5" s="2">
        <v>7</v>
      </c>
      <c r="J5" s="4">
        <v>45915</v>
      </c>
      <c r="K5" s="2">
        <v>90</v>
      </c>
      <c r="L5" s="2">
        <v>114</v>
      </c>
      <c r="M5" s="2">
        <v>432</v>
      </c>
      <c r="N5" s="3">
        <f t="shared" si="1"/>
        <v>14.035680000000001</v>
      </c>
      <c r="O5" s="4">
        <v>45922</v>
      </c>
      <c r="P5" s="2">
        <v>90</v>
      </c>
      <c r="Q5" s="2">
        <v>94</v>
      </c>
      <c r="R5" s="2">
        <v>452</v>
      </c>
      <c r="S5" s="3">
        <f t="shared" si="2"/>
        <v>12.109080000000002</v>
      </c>
      <c r="T5" s="4">
        <v>45929</v>
      </c>
      <c r="U5" s="3">
        <v>90</v>
      </c>
      <c r="V5" s="2">
        <v>145</v>
      </c>
      <c r="W5" s="2">
        <v>397</v>
      </c>
      <c r="X5" s="3">
        <f t="shared" si="3"/>
        <v>16.406025</v>
      </c>
      <c r="Y5" s="3">
        <f t="shared" si="0"/>
        <v>382.5</v>
      </c>
      <c r="Z5" s="3">
        <f t="shared" si="0"/>
        <v>12.387696250000001</v>
      </c>
      <c r="AA5" s="3">
        <f t="shared" si="4"/>
        <v>6.1938481250000006</v>
      </c>
    </row>
    <row r="6" spans="1:27" x14ac:dyDescent="0.35">
      <c r="A6" s="2" t="s">
        <v>21</v>
      </c>
      <c r="B6" s="2">
        <v>800</v>
      </c>
      <c r="C6" s="2" t="s">
        <v>22</v>
      </c>
      <c r="D6" s="3">
        <v>234</v>
      </c>
      <c r="E6" s="4">
        <v>45902</v>
      </c>
      <c r="F6" s="2">
        <v>90</v>
      </c>
      <c r="G6" s="2">
        <v>51</v>
      </c>
      <c r="H6" s="2">
        <v>416</v>
      </c>
      <c r="I6" s="2">
        <v>6</v>
      </c>
      <c r="J6" s="4">
        <v>45915</v>
      </c>
      <c r="K6" s="2">
        <v>90</v>
      </c>
      <c r="L6" s="2">
        <v>44</v>
      </c>
      <c r="M6" s="2">
        <v>698</v>
      </c>
      <c r="N6" s="3">
        <f t="shared" si="1"/>
        <v>8.7529199999999996</v>
      </c>
      <c r="O6" s="4">
        <v>45922</v>
      </c>
      <c r="P6" s="2">
        <v>90</v>
      </c>
      <c r="Q6" s="2">
        <v>99</v>
      </c>
      <c r="R6" s="2">
        <v>514</v>
      </c>
      <c r="S6" s="3">
        <f t="shared" si="2"/>
        <v>14.502509999999999</v>
      </c>
      <c r="T6" s="4">
        <v>45928</v>
      </c>
      <c r="U6" s="3">
        <v>90</v>
      </c>
      <c r="V6" s="2">
        <v>105</v>
      </c>
      <c r="W6" s="2">
        <v>534</v>
      </c>
      <c r="X6" s="3">
        <f t="shared" si="3"/>
        <v>15.979949999999999</v>
      </c>
      <c r="Y6" s="3">
        <f t="shared" si="0"/>
        <v>540.5</v>
      </c>
      <c r="Z6" s="3">
        <f t="shared" si="0"/>
        <v>11.308844999999998</v>
      </c>
      <c r="AA6" s="3">
        <f t="shared" si="4"/>
        <v>5.654422499999999</v>
      </c>
    </row>
    <row r="7" spans="1:27" x14ac:dyDescent="0.35">
      <c r="A7" s="8" t="s">
        <v>23</v>
      </c>
      <c r="B7" s="8">
        <v>800</v>
      </c>
      <c r="C7" s="8" t="s">
        <v>16</v>
      </c>
      <c r="D7" s="9">
        <v>235</v>
      </c>
      <c r="E7" s="8" t="s">
        <v>50</v>
      </c>
      <c r="F7" s="8" t="s">
        <v>50</v>
      </c>
      <c r="G7" s="8" t="s">
        <v>50</v>
      </c>
      <c r="H7" s="8" t="s">
        <v>50</v>
      </c>
      <c r="I7" s="8" t="s">
        <v>50</v>
      </c>
      <c r="J7" s="8" t="s">
        <v>50</v>
      </c>
      <c r="K7" s="8" t="s">
        <v>50</v>
      </c>
      <c r="L7" s="8" t="s">
        <v>50</v>
      </c>
      <c r="M7" s="8" t="s">
        <v>50</v>
      </c>
      <c r="N7" s="9">
        <v>0</v>
      </c>
      <c r="O7" s="8" t="s">
        <v>50</v>
      </c>
      <c r="P7" s="8" t="s">
        <v>50</v>
      </c>
      <c r="Q7" s="8" t="s">
        <v>50</v>
      </c>
      <c r="R7" s="8" t="s">
        <v>50</v>
      </c>
      <c r="S7" s="3">
        <v>0</v>
      </c>
      <c r="T7" s="8" t="s">
        <v>50</v>
      </c>
      <c r="U7" s="8" t="s">
        <v>50</v>
      </c>
      <c r="V7" s="8" t="s">
        <v>50</v>
      </c>
      <c r="W7" s="8" t="s">
        <v>50</v>
      </c>
      <c r="X7" s="9">
        <v>0</v>
      </c>
      <c r="Y7" s="9">
        <v>0</v>
      </c>
      <c r="Z7" s="9">
        <f t="shared" ref="Z7:Z24" si="5">AVERAGE(I7,N7,S7,X7)</f>
        <v>0</v>
      </c>
      <c r="AA7" s="9">
        <f t="shared" si="4"/>
        <v>0</v>
      </c>
    </row>
    <row r="8" spans="1:27" x14ac:dyDescent="0.35">
      <c r="A8" s="8" t="s">
        <v>24</v>
      </c>
      <c r="B8" s="8">
        <v>800</v>
      </c>
      <c r="C8" s="8" t="s">
        <v>25</v>
      </c>
      <c r="D8" s="9">
        <v>236</v>
      </c>
      <c r="E8" s="8" t="s">
        <v>50</v>
      </c>
      <c r="F8" s="8" t="s">
        <v>50</v>
      </c>
      <c r="G8" s="8" t="s">
        <v>50</v>
      </c>
      <c r="H8" s="8" t="s">
        <v>50</v>
      </c>
      <c r="I8" s="8" t="s">
        <v>50</v>
      </c>
      <c r="J8" s="8" t="s">
        <v>50</v>
      </c>
      <c r="K8" s="8" t="s">
        <v>50</v>
      </c>
      <c r="L8" s="8" t="s">
        <v>50</v>
      </c>
      <c r="M8" s="8" t="s">
        <v>50</v>
      </c>
      <c r="N8" s="9">
        <v>0</v>
      </c>
      <c r="O8" s="8" t="s">
        <v>50</v>
      </c>
      <c r="P8" s="8" t="s">
        <v>50</v>
      </c>
      <c r="Q8" s="8" t="s">
        <v>50</v>
      </c>
      <c r="R8" s="8" t="s">
        <v>50</v>
      </c>
      <c r="S8" s="3">
        <v>0</v>
      </c>
      <c r="T8" s="8" t="s">
        <v>50</v>
      </c>
      <c r="U8" s="8" t="s">
        <v>50</v>
      </c>
      <c r="V8" s="8" t="s">
        <v>50</v>
      </c>
      <c r="W8" s="8" t="s">
        <v>50</v>
      </c>
      <c r="X8" s="9">
        <v>0</v>
      </c>
      <c r="Y8" s="9">
        <v>0</v>
      </c>
      <c r="Z8" s="9">
        <f t="shared" si="5"/>
        <v>0</v>
      </c>
      <c r="AA8" s="9">
        <f t="shared" si="4"/>
        <v>0</v>
      </c>
    </row>
    <row r="9" spans="1:27" x14ac:dyDescent="0.35">
      <c r="A9" s="5" t="s">
        <v>26</v>
      </c>
      <c r="B9" s="2">
        <v>800</v>
      </c>
      <c r="C9" s="5" t="s">
        <v>25</v>
      </c>
      <c r="D9" s="6">
        <v>236</v>
      </c>
      <c r="E9" s="7">
        <v>45915</v>
      </c>
      <c r="F9" s="5">
        <v>90</v>
      </c>
      <c r="G9" s="5">
        <v>65</v>
      </c>
      <c r="H9" s="5">
        <v>482</v>
      </c>
      <c r="I9" s="5">
        <v>9</v>
      </c>
      <c r="J9" s="7">
        <v>45922</v>
      </c>
      <c r="K9" s="5">
        <v>90</v>
      </c>
      <c r="L9" s="5">
        <v>42</v>
      </c>
      <c r="M9" s="5">
        <v>793</v>
      </c>
      <c r="N9" s="3">
        <f t="shared" si="1"/>
        <v>9.49221</v>
      </c>
      <c r="O9" s="7">
        <v>45929</v>
      </c>
      <c r="P9" s="5">
        <v>90</v>
      </c>
      <c r="Q9" s="5">
        <v>42</v>
      </c>
      <c r="R9" s="5">
        <v>793</v>
      </c>
      <c r="S9" s="3">
        <f t="shared" si="2"/>
        <v>9.49221</v>
      </c>
      <c r="T9" s="7">
        <v>45931</v>
      </c>
      <c r="U9" s="5">
        <v>90</v>
      </c>
      <c r="V9" s="5">
        <v>60</v>
      </c>
      <c r="W9" s="5">
        <v>864</v>
      </c>
      <c r="X9" s="3">
        <f t="shared" si="3"/>
        <v>14.774399999999998</v>
      </c>
      <c r="Y9" s="3">
        <f>AVERAGE(H9,M9,R9,W9)</f>
        <v>733</v>
      </c>
      <c r="Z9" s="3">
        <f t="shared" si="5"/>
        <v>10.689705</v>
      </c>
      <c r="AA9" s="6">
        <f>SUM(Z9/2)</f>
        <v>5.3448525</v>
      </c>
    </row>
    <row r="10" spans="1:27" x14ac:dyDescent="0.35">
      <c r="A10" s="8" t="s">
        <v>27</v>
      </c>
      <c r="B10" s="8">
        <v>800</v>
      </c>
      <c r="C10" s="8" t="s">
        <v>28</v>
      </c>
      <c r="D10" s="9">
        <v>249</v>
      </c>
      <c r="E10" s="8" t="s">
        <v>50</v>
      </c>
      <c r="F10" s="8" t="s">
        <v>50</v>
      </c>
      <c r="G10" s="8" t="s">
        <v>50</v>
      </c>
      <c r="H10" s="8" t="s">
        <v>50</v>
      </c>
      <c r="I10" s="8" t="s">
        <v>50</v>
      </c>
      <c r="J10" s="8" t="s">
        <v>50</v>
      </c>
      <c r="K10" s="8" t="s">
        <v>50</v>
      </c>
      <c r="L10" s="8" t="s">
        <v>50</v>
      </c>
      <c r="M10" s="8" t="s">
        <v>50</v>
      </c>
      <c r="N10" s="9">
        <v>0</v>
      </c>
      <c r="O10" s="8" t="s">
        <v>50</v>
      </c>
      <c r="P10" s="8" t="s">
        <v>50</v>
      </c>
      <c r="Q10" s="8" t="s">
        <v>50</v>
      </c>
      <c r="R10" s="8" t="s">
        <v>50</v>
      </c>
      <c r="S10" s="3">
        <v>0</v>
      </c>
      <c r="T10" s="8" t="s">
        <v>50</v>
      </c>
      <c r="U10" s="8" t="s">
        <v>50</v>
      </c>
      <c r="V10" s="8" t="s">
        <v>50</v>
      </c>
      <c r="W10" s="8" t="s">
        <v>50</v>
      </c>
      <c r="X10" s="9">
        <v>0</v>
      </c>
      <c r="Y10" s="9">
        <v>0</v>
      </c>
      <c r="Z10" s="9">
        <f t="shared" si="5"/>
        <v>0</v>
      </c>
      <c r="AA10" s="9">
        <f t="shared" si="4"/>
        <v>0</v>
      </c>
    </row>
    <row r="11" spans="1:27" x14ac:dyDescent="0.35">
      <c r="A11" s="2" t="s">
        <v>29</v>
      </c>
      <c r="B11" s="2">
        <v>800</v>
      </c>
      <c r="C11" s="2" t="s">
        <v>30</v>
      </c>
      <c r="D11" s="3">
        <v>242</v>
      </c>
      <c r="E11" s="4">
        <v>45903</v>
      </c>
      <c r="F11" s="2">
        <v>90</v>
      </c>
      <c r="G11" s="2">
        <v>98</v>
      </c>
      <c r="H11" s="2">
        <v>640</v>
      </c>
      <c r="I11" s="2">
        <v>17</v>
      </c>
      <c r="J11" s="4">
        <v>45912</v>
      </c>
      <c r="K11" s="2">
        <v>90</v>
      </c>
      <c r="L11" s="2">
        <v>30</v>
      </c>
      <c r="M11" s="2">
        <v>496</v>
      </c>
      <c r="N11" s="3">
        <f t="shared" si="1"/>
        <v>4.2408000000000001</v>
      </c>
      <c r="O11" s="4">
        <v>45919</v>
      </c>
      <c r="P11" s="2">
        <v>90</v>
      </c>
      <c r="Q11" s="2">
        <v>94</v>
      </c>
      <c r="R11" s="2">
        <v>657</v>
      </c>
      <c r="S11" s="3">
        <f t="shared" si="2"/>
        <v>17.601030000000002</v>
      </c>
      <c r="T11" s="4">
        <v>45929</v>
      </c>
      <c r="U11" s="3">
        <v>90</v>
      </c>
      <c r="V11" s="3">
        <v>160</v>
      </c>
      <c r="W11" s="3">
        <v>514</v>
      </c>
      <c r="X11" s="3">
        <f t="shared" si="3"/>
        <v>23.438399999999998</v>
      </c>
      <c r="Y11" s="3">
        <f>AVERAGE(H11,M11,R11,W11)</f>
        <v>576.75</v>
      </c>
      <c r="Z11" s="3">
        <f t="shared" si="5"/>
        <v>15.570057500000001</v>
      </c>
      <c r="AA11" s="3">
        <f t="shared" si="4"/>
        <v>7.7850287500000004</v>
      </c>
    </row>
    <row r="12" spans="1:27" x14ac:dyDescent="0.35">
      <c r="A12" s="2" t="s">
        <v>31</v>
      </c>
      <c r="B12" s="2">
        <v>800</v>
      </c>
      <c r="C12" s="2" t="s">
        <v>22</v>
      </c>
      <c r="D12" s="3">
        <v>234</v>
      </c>
      <c r="E12" s="4">
        <v>45905</v>
      </c>
      <c r="F12" s="2">
        <v>90</v>
      </c>
      <c r="G12" s="2">
        <v>94</v>
      </c>
      <c r="H12" s="2">
        <v>507</v>
      </c>
      <c r="I12" s="2">
        <v>13</v>
      </c>
      <c r="J12" s="4">
        <v>45912</v>
      </c>
      <c r="K12" s="2">
        <v>90</v>
      </c>
      <c r="L12" s="2">
        <v>95</v>
      </c>
      <c r="M12" s="2">
        <v>499</v>
      </c>
      <c r="N12" s="3">
        <f t="shared" si="1"/>
        <v>13.510425</v>
      </c>
      <c r="O12" s="4">
        <v>45919</v>
      </c>
      <c r="P12" s="2">
        <v>90</v>
      </c>
      <c r="Q12" s="2">
        <v>96</v>
      </c>
      <c r="R12" s="2">
        <v>510</v>
      </c>
      <c r="S12" s="3">
        <f t="shared" si="2"/>
        <v>13.953599999999998</v>
      </c>
      <c r="T12" s="4">
        <v>45929</v>
      </c>
      <c r="U12" s="3">
        <v>90</v>
      </c>
      <c r="V12" s="3">
        <v>125</v>
      </c>
      <c r="W12" s="3">
        <v>553</v>
      </c>
      <c r="X12" s="3">
        <f t="shared" si="3"/>
        <v>19.700624999999999</v>
      </c>
      <c r="Y12" s="3">
        <f>AVERAGE(H12,M12,R12,W12)</f>
        <v>517.25</v>
      </c>
      <c r="Z12" s="3">
        <f t="shared" si="5"/>
        <v>15.041162499999999</v>
      </c>
      <c r="AA12" s="3">
        <f t="shared" si="4"/>
        <v>7.5205812499999993</v>
      </c>
    </row>
    <row r="13" spans="1:27" x14ac:dyDescent="0.35">
      <c r="A13" s="2" t="s">
        <v>32</v>
      </c>
      <c r="B13" s="2">
        <v>800</v>
      </c>
      <c r="C13" s="2" t="s">
        <v>18</v>
      </c>
      <c r="D13" s="3">
        <v>226</v>
      </c>
      <c r="E13" s="4">
        <v>45905</v>
      </c>
      <c r="F13" s="2">
        <v>90</v>
      </c>
      <c r="G13" s="2">
        <v>91</v>
      </c>
      <c r="H13" s="2">
        <v>419</v>
      </c>
      <c r="I13" s="2">
        <v>10</v>
      </c>
      <c r="J13" s="4">
        <v>45912</v>
      </c>
      <c r="K13" s="2">
        <v>90</v>
      </c>
      <c r="L13" s="2">
        <v>70</v>
      </c>
      <c r="M13" s="2">
        <v>282</v>
      </c>
      <c r="N13" s="3">
        <f t="shared" si="1"/>
        <v>5.6259000000000006</v>
      </c>
      <c r="O13" s="4">
        <v>45919</v>
      </c>
      <c r="P13" s="2">
        <v>90</v>
      </c>
      <c r="Q13" s="2">
        <v>57</v>
      </c>
      <c r="R13" s="2">
        <v>571</v>
      </c>
      <c r="S13" s="3">
        <f t="shared" si="2"/>
        <v>9.2758949999999984</v>
      </c>
      <c r="T13" s="4">
        <v>45929</v>
      </c>
      <c r="U13" s="3">
        <v>90</v>
      </c>
      <c r="V13" s="3">
        <v>96</v>
      </c>
      <c r="W13" s="3">
        <v>424</v>
      </c>
      <c r="X13" s="3">
        <f t="shared" si="3"/>
        <v>11.60064</v>
      </c>
      <c r="Y13" s="3">
        <f>AVERAGE(H13,M13,R13,W13)</f>
        <v>424</v>
      </c>
      <c r="Z13" s="3">
        <f t="shared" si="5"/>
        <v>9.1256087499999996</v>
      </c>
      <c r="AA13" s="3">
        <f t="shared" si="4"/>
        <v>4.5628043749999998</v>
      </c>
    </row>
    <row r="14" spans="1:27" x14ac:dyDescent="0.35">
      <c r="A14" s="2" t="s">
        <v>33</v>
      </c>
      <c r="B14" s="2">
        <v>800</v>
      </c>
      <c r="C14" s="2" t="s">
        <v>18</v>
      </c>
      <c r="D14" s="3">
        <v>226</v>
      </c>
      <c r="E14" s="4">
        <v>45905</v>
      </c>
      <c r="F14" s="2">
        <v>90</v>
      </c>
      <c r="G14" s="2">
        <v>94</v>
      </c>
      <c r="H14" s="2">
        <v>566</v>
      </c>
      <c r="I14" s="2">
        <v>15</v>
      </c>
      <c r="J14" s="4">
        <v>45912</v>
      </c>
      <c r="K14" s="2">
        <v>90</v>
      </c>
      <c r="L14" s="2">
        <v>68</v>
      </c>
      <c r="M14" s="2">
        <v>616</v>
      </c>
      <c r="N14" s="3">
        <f t="shared" si="1"/>
        <v>11.938080000000001</v>
      </c>
      <c r="O14" s="4">
        <v>45919</v>
      </c>
      <c r="P14" s="2">
        <v>90</v>
      </c>
      <c r="Q14" s="2">
        <v>69</v>
      </c>
      <c r="R14" s="2">
        <v>876</v>
      </c>
      <c r="S14" s="3">
        <f t="shared" si="2"/>
        <v>17.22654</v>
      </c>
      <c r="T14" s="4">
        <v>45928</v>
      </c>
      <c r="U14" s="10">
        <v>90</v>
      </c>
      <c r="V14" s="3">
        <v>140</v>
      </c>
      <c r="W14" s="3">
        <v>460</v>
      </c>
      <c r="X14" s="3">
        <f t="shared" si="3"/>
        <v>18.353999999999999</v>
      </c>
      <c r="Y14" s="3">
        <f>AVERAGE(H14,M14,R14,W14)</f>
        <v>629.5</v>
      </c>
      <c r="Z14" s="3">
        <f t="shared" si="5"/>
        <v>15.629655</v>
      </c>
      <c r="AA14" s="3">
        <f t="shared" si="4"/>
        <v>7.8148274999999998</v>
      </c>
    </row>
    <row r="15" spans="1:27" x14ac:dyDescent="0.35">
      <c r="A15" s="2" t="s">
        <v>34</v>
      </c>
      <c r="B15" s="2">
        <v>800</v>
      </c>
      <c r="C15" s="2" t="s">
        <v>35</v>
      </c>
      <c r="D15" s="3">
        <v>223</v>
      </c>
      <c r="E15" s="4">
        <v>45905</v>
      </c>
      <c r="F15" s="2">
        <v>90</v>
      </c>
      <c r="G15" s="2">
        <v>69</v>
      </c>
      <c r="H15" s="2">
        <v>397</v>
      </c>
      <c r="I15" s="2">
        <v>7</v>
      </c>
      <c r="J15" s="4">
        <v>45912</v>
      </c>
      <c r="K15" s="2">
        <v>90</v>
      </c>
      <c r="L15" s="2">
        <v>78</v>
      </c>
      <c r="M15" s="2">
        <v>475</v>
      </c>
      <c r="N15" s="3">
        <f t="shared" si="1"/>
        <v>10.55925</v>
      </c>
      <c r="O15" s="4">
        <v>45919</v>
      </c>
      <c r="P15" s="2">
        <v>90</v>
      </c>
      <c r="Q15" s="2">
        <v>74</v>
      </c>
      <c r="R15" s="2">
        <v>438</v>
      </c>
      <c r="S15" s="3">
        <f t="shared" si="2"/>
        <v>9.2374200000000002</v>
      </c>
      <c r="T15" s="4">
        <v>45929</v>
      </c>
      <c r="U15" s="3">
        <v>90</v>
      </c>
      <c r="V15" s="3">
        <v>73</v>
      </c>
      <c r="W15" s="3">
        <v>531</v>
      </c>
      <c r="X15" s="3">
        <f t="shared" si="3"/>
        <v>11.047455000000001</v>
      </c>
      <c r="Y15" s="3">
        <f>AVERAGE(H15,M15,R15,W15)</f>
        <v>460.25</v>
      </c>
      <c r="Z15" s="3">
        <f t="shared" si="5"/>
        <v>9.4610312499999996</v>
      </c>
      <c r="AA15" s="3">
        <f t="shared" si="4"/>
        <v>4.7305156249999998</v>
      </c>
    </row>
    <row r="16" spans="1:27" x14ac:dyDescent="0.35">
      <c r="A16" s="8" t="s">
        <v>36</v>
      </c>
      <c r="B16" s="8">
        <v>800</v>
      </c>
      <c r="C16" s="8" t="s">
        <v>37</v>
      </c>
      <c r="D16" s="9">
        <v>253</v>
      </c>
      <c r="E16" s="8" t="s">
        <v>50</v>
      </c>
      <c r="F16" s="8" t="s">
        <v>50</v>
      </c>
      <c r="G16" s="8" t="s">
        <v>50</v>
      </c>
      <c r="H16" s="8" t="s">
        <v>50</v>
      </c>
      <c r="I16" s="8" t="s">
        <v>50</v>
      </c>
      <c r="J16" s="8" t="s">
        <v>50</v>
      </c>
      <c r="K16" s="8" t="s">
        <v>50</v>
      </c>
      <c r="L16" s="8" t="s">
        <v>50</v>
      </c>
      <c r="M16" s="8" t="s">
        <v>50</v>
      </c>
      <c r="N16" s="9">
        <v>0</v>
      </c>
      <c r="O16" s="8" t="s">
        <v>50</v>
      </c>
      <c r="P16" s="8" t="s">
        <v>50</v>
      </c>
      <c r="Q16" s="8" t="s">
        <v>50</v>
      </c>
      <c r="R16" s="8" t="s">
        <v>50</v>
      </c>
      <c r="S16" s="3">
        <v>0</v>
      </c>
      <c r="T16" s="8" t="s">
        <v>50</v>
      </c>
      <c r="U16" s="8" t="s">
        <v>50</v>
      </c>
      <c r="V16" s="8" t="s">
        <v>50</v>
      </c>
      <c r="W16" s="8" t="s">
        <v>50</v>
      </c>
      <c r="X16" s="9">
        <v>0</v>
      </c>
      <c r="Y16" s="9">
        <v>0</v>
      </c>
      <c r="Z16" s="9">
        <f t="shared" si="5"/>
        <v>0</v>
      </c>
      <c r="AA16" s="9">
        <f t="shared" si="4"/>
        <v>0</v>
      </c>
    </row>
    <row r="17" spans="1:27" x14ac:dyDescent="0.35">
      <c r="A17" s="2" t="s">
        <v>38</v>
      </c>
      <c r="B17" s="2">
        <v>800</v>
      </c>
      <c r="C17" s="4">
        <v>45680</v>
      </c>
      <c r="D17" s="3">
        <v>253</v>
      </c>
      <c r="E17" s="4">
        <v>45909</v>
      </c>
      <c r="F17" s="2"/>
      <c r="G17" s="2">
        <v>98</v>
      </c>
      <c r="H17" s="2">
        <v>447</v>
      </c>
      <c r="I17" s="2">
        <v>12</v>
      </c>
      <c r="J17" s="4">
        <v>45916</v>
      </c>
      <c r="K17" s="2">
        <v>90</v>
      </c>
      <c r="L17" s="2">
        <v>136</v>
      </c>
      <c r="M17" s="2">
        <v>570</v>
      </c>
      <c r="N17" s="3">
        <f t="shared" si="1"/>
        <v>22.093199999999996</v>
      </c>
      <c r="O17" s="4">
        <v>45923</v>
      </c>
      <c r="P17" s="2">
        <v>90</v>
      </c>
      <c r="Q17" s="2">
        <v>175</v>
      </c>
      <c r="R17" s="2">
        <v>617</v>
      </c>
      <c r="S17" s="3">
        <f t="shared" si="2"/>
        <v>30.772874999999999</v>
      </c>
      <c r="T17" s="4">
        <v>45931</v>
      </c>
      <c r="U17" s="2">
        <v>90</v>
      </c>
      <c r="V17" s="2">
        <v>134</v>
      </c>
      <c r="W17" s="2">
        <v>540</v>
      </c>
      <c r="X17" s="3">
        <f t="shared" si="3"/>
        <v>20.622599999999998</v>
      </c>
      <c r="Y17" s="3">
        <f t="shared" ref="Y17:Y22" si="6">AVERAGE(H17,M17,R17,W17)</f>
        <v>543.5</v>
      </c>
      <c r="Z17" s="3">
        <f t="shared" si="5"/>
        <v>21.37216875</v>
      </c>
      <c r="AA17" s="3">
        <f t="shared" si="4"/>
        <v>10.686084375</v>
      </c>
    </row>
    <row r="18" spans="1:27" x14ac:dyDescent="0.35">
      <c r="A18" s="2" t="s">
        <v>39</v>
      </c>
      <c r="B18" s="2">
        <v>2</v>
      </c>
      <c r="C18" s="2" t="s">
        <v>30</v>
      </c>
      <c r="D18" s="3">
        <v>242</v>
      </c>
      <c r="E18" s="4">
        <v>45905</v>
      </c>
      <c r="F18" s="2">
        <v>90</v>
      </c>
      <c r="G18" s="2">
        <v>141</v>
      </c>
      <c r="H18" s="2">
        <v>393</v>
      </c>
      <c r="I18" s="2">
        <v>15</v>
      </c>
      <c r="J18" s="4">
        <v>45916</v>
      </c>
      <c r="K18" s="2">
        <v>90</v>
      </c>
      <c r="L18" s="2">
        <v>169</v>
      </c>
      <c r="M18" s="2">
        <v>505</v>
      </c>
      <c r="N18" s="3">
        <f t="shared" si="1"/>
        <v>24.323324999999997</v>
      </c>
      <c r="O18" s="4">
        <v>45922</v>
      </c>
      <c r="P18" s="2">
        <v>90</v>
      </c>
      <c r="Q18" s="2">
        <v>171</v>
      </c>
      <c r="R18" s="2">
        <v>372</v>
      </c>
      <c r="S18" s="3">
        <f t="shared" si="2"/>
        <v>18.12942</v>
      </c>
      <c r="T18" s="4">
        <v>45930</v>
      </c>
      <c r="U18" s="2">
        <v>90</v>
      </c>
      <c r="V18" s="2">
        <v>135</v>
      </c>
      <c r="W18" s="2">
        <v>409</v>
      </c>
      <c r="X18" s="3">
        <f t="shared" si="3"/>
        <v>15.736274999999999</v>
      </c>
      <c r="Y18" s="3">
        <f t="shared" si="6"/>
        <v>419.75</v>
      </c>
      <c r="Z18" s="3">
        <f t="shared" si="5"/>
        <v>18.297255</v>
      </c>
      <c r="AA18" s="3">
        <f t="shared" si="4"/>
        <v>9.1486274999999999</v>
      </c>
    </row>
    <row r="19" spans="1:27" x14ac:dyDescent="0.35">
      <c r="A19" s="2" t="s">
        <v>40</v>
      </c>
      <c r="B19" s="2">
        <v>2</v>
      </c>
      <c r="C19" s="2" t="s">
        <v>30</v>
      </c>
      <c r="D19" s="3">
        <v>242</v>
      </c>
      <c r="E19" s="4">
        <v>45905</v>
      </c>
      <c r="F19" s="2">
        <v>90</v>
      </c>
      <c r="G19" s="2">
        <v>287</v>
      </c>
      <c r="H19" s="2">
        <v>179</v>
      </c>
      <c r="I19" s="2">
        <v>14</v>
      </c>
      <c r="J19" s="4">
        <v>45916</v>
      </c>
      <c r="K19" s="2">
        <v>90</v>
      </c>
      <c r="L19" s="2">
        <v>195</v>
      </c>
      <c r="M19" s="2">
        <v>249</v>
      </c>
      <c r="N19" s="3">
        <f t="shared" si="1"/>
        <v>13.838175</v>
      </c>
      <c r="O19" s="4">
        <v>45923</v>
      </c>
      <c r="P19" s="2">
        <v>90</v>
      </c>
      <c r="Q19" s="2">
        <v>202</v>
      </c>
      <c r="R19" s="2">
        <v>338</v>
      </c>
      <c r="S19" s="3">
        <f t="shared" si="2"/>
        <v>19.458659999999998</v>
      </c>
      <c r="T19" s="4">
        <v>45927</v>
      </c>
      <c r="U19" s="2">
        <v>90</v>
      </c>
      <c r="V19" s="2">
        <v>290</v>
      </c>
      <c r="W19" s="2">
        <v>183</v>
      </c>
      <c r="X19" s="3">
        <f t="shared" si="3"/>
        <v>15.12495</v>
      </c>
      <c r="Y19" s="3">
        <f t="shared" si="6"/>
        <v>237.25</v>
      </c>
      <c r="Z19" s="3">
        <f t="shared" si="5"/>
        <v>15.60544625</v>
      </c>
      <c r="AA19" s="3">
        <f t="shared" si="4"/>
        <v>7.802723125</v>
      </c>
    </row>
    <row r="20" spans="1:27" x14ac:dyDescent="0.35">
      <c r="A20" s="2" t="s">
        <v>41</v>
      </c>
      <c r="B20" s="2">
        <v>2</v>
      </c>
      <c r="C20" s="2" t="s">
        <v>42</v>
      </c>
      <c r="D20" s="3">
        <v>256</v>
      </c>
      <c r="E20" s="4">
        <v>45901</v>
      </c>
      <c r="F20" s="2">
        <v>90</v>
      </c>
      <c r="G20" s="2">
        <v>142</v>
      </c>
      <c r="H20" s="2">
        <v>437</v>
      </c>
      <c r="I20" s="2">
        <v>18</v>
      </c>
      <c r="J20" s="4">
        <v>45916</v>
      </c>
      <c r="K20" s="2">
        <v>90</v>
      </c>
      <c r="L20" s="2">
        <v>120</v>
      </c>
      <c r="M20" s="2">
        <v>483</v>
      </c>
      <c r="N20" s="3">
        <f t="shared" si="1"/>
        <v>16.518599999999999</v>
      </c>
      <c r="O20" s="4">
        <v>45923</v>
      </c>
      <c r="P20" s="2">
        <v>90</v>
      </c>
      <c r="Q20" s="2">
        <v>139</v>
      </c>
      <c r="R20" s="2">
        <v>544</v>
      </c>
      <c r="S20" s="3">
        <f t="shared" si="2"/>
        <v>21.550560000000001</v>
      </c>
      <c r="T20" s="4">
        <v>45932</v>
      </c>
      <c r="U20" s="2">
        <v>90</v>
      </c>
      <c r="V20" s="2">
        <v>193</v>
      </c>
      <c r="W20" s="2">
        <v>429</v>
      </c>
      <c r="X20" s="3">
        <f t="shared" si="3"/>
        <v>23.597144999999998</v>
      </c>
      <c r="Y20" s="3">
        <f t="shared" si="6"/>
        <v>473.25</v>
      </c>
      <c r="Z20" s="3">
        <f t="shared" si="5"/>
        <v>19.916576249999999</v>
      </c>
      <c r="AA20" s="3">
        <f t="shared" si="4"/>
        <v>9.9582881249999993</v>
      </c>
    </row>
    <row r="21" spans="1:27" x14ac:dyDescent="0.35">
      <c r="A21" s="2" t="s">
        <v>43</v>
      </c>
      <c r="B21" s="2">
        <v>3</v>
      </c>
      <c r="C21" s="2" t="s">
        <v>44</v>
      </c>
      <c r="D21" s="3">
        <v>240</v>
      </c>
      <c r="E21" s="4">
        <v>45902</v>
      </c>
      <c r="F21" s="2">
        <v>90</v>
      </c>
      <c r="G21" s="2">
        <v>77</v>
      </c>
      <c r="H21" s="2">
        <v>468</v>
      </c>
      <c r="I21" s="2">
        <v>10</v>
      </c>
      <c r="J21" s="4">
        <v>45915</v>
      </c>
      <c r="K21" s="2">
        <v>90</v>
      </c>
      <c r="L21" s="2">
        <v>195</v>
      </c>
      <c r="M21" s="2">
        <v>367</v>
      </c>
      <c r="N21" s="3">
        <f t="shared" si="1"/>
        <v>20.396024999999998</v>
      </c>
      <c r="O21" s="4">
        <v>45922</v>
      </c>
      <c r="P21" s="2">
        <v>90</v>
      </c>
      <c r="Q21" s="2">
        <v>108</v>
      </c>
      <c r="R21" s="2">
        <v>607</v>
      </c>
      <c r="S21" s="3">
        <f t="shared" si="2"/>
        <v>18.68346</v>
      </c>
      <c r="T21" s="4">
        <v>45930</v>
      </c>
      <c r="U21" s="2">
        <v>90</v>
      </c>
      <c r="V21" s="2">
        <v>119</v>
      </c>
      <c r="W21" s="2">
        <v>453</v>
      </c>
      <c r="X21" s="3">
        <f t="shared" si="3"/>
        <v>15.363495</v>
      </c>
      <c r="Y21" s="3">
        <f t="shared" si="6"/>
        <v>473.75</v>
      </c>
      <c r="Z21" s="3">
        <f t="shared" si="5"/>
        <v>16.110745000000001</v>
      </c>
      <c r="AA21" s="3">
        <f t="shared" si="4"/>
        <v>8.0553725000000007</v>
      </c>
    </row>
    <row r="22" spans="1:27" x14ac:dyDescent="0.35">
      <c r="A22" s="5" t="s">
        <v>45</v>
      </c>
      <c r="B22" s="5">
        <v>3</v>
      </c>
      <c r="C22" s="5" t="s">
        <v>44</v>
      </c>
      <c r="D22" s="6">
        <v>240</v>
      </c>
      <c r="E22" s="7">
        <v>45915</v>
      </c>
      <c r="F22" s="5">
        <v>90</v>
      </c>
      <c r="G22" s="5">
        <v>101</v>
      </c>
      <c r="H22" s="5">
        <v>452</v>
      </c>
      <c r="I22" s="5">
        <v>13</v>
      </c>
      <c r="J22" s="7">
        <v>45922</v>
      </c>
      <c r="K22" s="5">
        <v>90</v>
      </c>
      <c r="L22" s="5">
        <v>141</v>
      </c>
      <c r="M22" s="5">
        <v>411</v>
      </c>
      <c r="N22" s="3">
        <f t="shared" si="1"/>
        <v>16.516034999999999</v>
      </c>
      <c r="O22" s="7">
        <v>45929</v>
      </c>
      <c r="P22" s="5">
        <v>90</v>
      </c>
      <c r="Q22" s="5">
        <v>148</v>
      </c>
      <c r="R22" s="5">
        <v>534</v>
      </c>
      <c r="S22" s="3">
        <f t="shared" si="2"/>
        <v>22.52412</v>
      </c>
      <c r="T22" s="7">
        <v>45936</v>
      </c>
      <c r="U22" s="5" t="s">
        <v>50</v>
      </c>
      <c r="V22" s="5" t="s">
        <v>50</v>
      </c>
      <c r="W22" s="5" t="s">
        <v>50</v>
      </c>
      <c r="X22" s="6">
        <v>0</v>
      </c>
      <c r="Y22" s="6">
        <f t="shared" si="6"/>
        <v>465.66666666666669</v>
      </c>
      <c r="Z22" s="6">
        <f t="shared" si="5"/>
        <v>13.01003875</v>
      </c>
      <c r="AA22" s="6">
        <f t="shared" si="4"/>
        <v>6.5050193749999998</v>
      </c>
    </row>
    <row r="23" spans="1:27" x14ac:dyDescent="0.35">
      <c r="A23" s="8" t="s">
        <v>46</v>
      </c>
      <c r="B23" s="8">
        <v>3</v>
      </c>
      <c r="C23" s="8" t="s">
        <v>47</v>
      </c>
      <c r="D23" s="9">
        <v>247</v>
      </c>
      <c r="E23" s="8" t="s">
        <v>50</v>
      </c>
      <c r="F23" s="8" t="s">
        <v>50</v>
      </c>
      <c r="G23" s="8" t="s">
        <v>50</v>
      </c>
      <c r="H23" s="8" t="s">
        <v>50</v>
      </c>
      <c r="I23" s="8" t="s">
        <v>50</v>
      </c>
      <c r="J23" s="8" t="s">
        <v>50</v>
      </c>
      <c r="K23" s="8" t="s">
        <v>50</v>
      </c>
      <c r="L23" s="8" t="s">
        <v>50</v>
      </c>
      <c r="M23" s="8" t="s">
        <v>50</v>
      </c>
      <c r="N23" s="3">
        <v>0</v>
      </c>
      <c r="O23" s="8" t="s">
        <v>50</v>
      </c>
      <c r="P23" s="8" t="s">
        <v>50</v>
      </c>
      <c r="Q23" s="8" t="s">
        <v>50</v>
      </c>
      <c r="R23" s="8" t="s">
        <v>50</v>
      </c>
      <c r="S23" s="3">
        <v>0</v>
      </c>
      <c r="T23" s="8" t="s">
        <v>50</v>
      </c>
      <c r="U23" s="8" t="s">
        <v>50</v>
      </c>
      <c r="V23" s="8" t="s">
        <v>50</v>
      </c>
      <c r="W23" s="8" t="s">
        <v>50</v>
      </c>
      <c r="X23" s="9">
        <v>0</v>
      </c>
      <c r="Y23" s="9">
        <v>0</v>
      </c>
      <c r="Z23" s="9">
        <f t="shared" si="5"/>
        <v>0</v>
      </c>
      <c r="AA23" s="9">
        <f t="shared" si="4"/>
        <v>0</v>
      </c>
    </row>
    <row r="24" spans="1:27" x14ac:dyDescent="0.35">
      <c r="A24" s="5" t="s">
        <v>48</v>
      </c>
      <c r="B24" s="5">
        <v>3</v>
      </c>
      <c r="C24" s="5" t="s">
        <v>47</v>
      </c>
      <c r="D24" s="6">
        <v>247</v>
      </c>
      <c r="E24" s="7">
        <v>45915</v>
      </c>
      <c r="F24" s="5">
        <v>90</v>
      </c>
      <c r="G24" s="5">
        <v>92</v>
      </c>
      <c r="H24" s="5">
        <v>506</v>
      </c>
      <c r="I24" s="5">
        <v>13</v>
      </c>
      <c r="J24" s="7">
        <v>45922</v>
      </c>
      <c r="K24" s="5">
        <v>90</v>
      </c>
      <c r="L24" s="5">
        <v>160</v>
      </c>
      <c r="M24" s="5">
        <v>583</v>
      </c>
      <c r="N24" s="3">
        <f t="shared" si="1"/>
        <v>26.584799999999998</v>
      </c>
      <c r="O24" s="7">
        <v>45929</v>
      </c>
      <c r="P24" s="5">
        <v>90</v>
      </c>
      <c r="Q24" s="5">
        <v>244</v>
      </c>
      <c r="R24" s="5">
        <v>243</v>
      </c>
      <c r="S24" s="3">
        <f t="shared" si="2"/>
        <v>16.898220000000002</v>
      </c>
      <c r="T24" s="7">
        <v>45936</v>
      </c>
      <c r="U24" s="5" t="s">
        <v>50</v>
      </c>
      <c r="V24" s="5" t="s">
        <v>50</v>
      </c>
      <c r="W24" s="5" t="s">
        <v>50</v>
      </c>
      <c r="X24" s="6">
        <v>0</v>
      </c>
      <c r="Y24" s="6">
        <f>AVERAGE(H24,M24,R24,W24)</f>
        <v>444</v>
      </c>
      <c r="Z24" s="6">
        <f t="shared" si="5"/>
        <v>14.120755000000001</v>
      </c>
      <c r="AA24" s="6">
        <f>SUM(Z24/2)</f>
        <v>7.0603775000000004</v>
      </c>
    </row>
    <row r="25" spans="1:27" x14ac:dyDescent="0.35">
      <c r="A25" s="8" t="s">
        <v>49</v>
      </c>
      <c r="B25" s="8">
        <v>3</v>
      </c>
      <c r="C25" s="8" t="s">
        <v>47</v>
      </c>
      <c r="D25" s="9">
        <v>247</v>
      </c>
      <c r="E25" s="8" t="s">
        <v>50</v>
      </c>
      <c r="F25" s="8" t="s">
        <v>50</v>
      </c>
      <c r="G25" s="8" t="s">
        <v>50</v>
      </c>
      <c r="H25" s="8" t="s">
        <v>50</v>
      </c>
      <c r="I25" s="8" t="s">
        <v>50</v>
      </c>
      <c r="J25" s="8" t="s">
        <v>50</v>
      </c>
      <c r="K25" s="8" t="s">
        <v>50</v>
      </c>
      <c r="L25" s="8" t="s">
        <v>50</v>
      </c>
      <c r="M25" s="8" t="s">
        <v>50</v>
      </c>
      <c r="N25" s="8">
        <v>0</v>
      </c>
      <c r="O25" s="8" t="s">
        <v>50</v>
      </c>
      <c r="P25" s="8" t="s">
        <v>50</v>
      </c>
      <c r="Q25" s="8" t="s">
        <v>50</v>
      </c>
      <c r="R25" s="8" t="s">
        <v>50</v>
      </c>
      <c r="S25" s="2">
        <v>0</v>
      </c>
      <c r="T25" s="8" t="s">
        <v>50</v>
      </c>
      <c r="U25" s="8" t="s">
        <v>50</v>
      </c>
      <c r="V25" s="8" t="s">
        <v>50</v>
      </c>
      <c r="W25" s="8" t="s">
        <v>50</v>
      </c>
      <c r="X25" s="9">
        <v>0</v>
      </c>
      <c r="Y25" s="9">
        <v>0</v>
      </c>
      <c r="Z25" s="9">
        <f>AVERAGE(I25,N25,S25)</f>
        <v>0</v>
      </c>
      <c r="AA25" s="9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</dc:creator>
  <cp:lastModifiedBy>BEST</cp:lastModifiedBy>
  <dcterms:created xsi:type="dcterms:W3CDTF">2025-10-03T19:49:35Z</dcterms:created>
  <dcterms:modified xsi:type="dcterms:W3CDTF">2025-11-11T11:15:44Z</dcterms:modified>
</cp:coreProperties>
</file>